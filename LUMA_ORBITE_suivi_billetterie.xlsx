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Rythme de vente" sheetId="2" state="visible" r:id="rId4"/>
    <sheet name="Canaux" sheetId="3" state="visible" r:id="rId5"/>
    <sheet name="Segments" sheetId="4" state="visible" r:id="rId6"/>
    <sheet name="Plan de campag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<sst xmlns="http://schemas.openxmlformats.org/spreadsheetml/2006/main" count="123" uniqueCount="116">
  <si>
    <t xml:space="preserve">LÜMA — Tournée ORBITE 2026-27</t>
  </si>
  <si>
    <t xml:space="preserve">Suivi de billetterie et segmentation CRM · analyse arrêtée au 4 août 2026</t>
  </si>
  <si>
    <t xml:space="preserve">Ce classeur est un exercice de portfolio. Les données sont simulées par un script Python à graine fixe</t>
  </si>
  <si>
    <t xml:space="preserve">(generate.py) : l'artiste, la tournée et les acheteurs sont fictifs. La méthode, elle, ne l'est pas.</t>
  </si>
  <si>
    <t xml:space="preserve">Onglets</t>
  </si>
  <si>
    <t xml:space="preserve">Rythme de vente     remplissage par date, rapporté à la courbe de référence de la tournée</t>
  </si>
  <si>
    <t xml:space="preserve">Canaux              mix de distribution et part d'audience réellement joignable</t>
  </si>
  <si>
    <t xml:space="preserve">Segments            segmentation RFM des acheteurs, effectifs et valeur</t>
  </si>
  <si>
    <t xml:space="preserve">Plan de campagne    cible, test A/B et prévision par campagne — cellules bleues = hypothèses modifiables</t>
  </si>
  <si>
    <t xml:space="preserve">Convention de lecture</t>
  </si>
  <si>
    <t xml:space="preserve">Bleu = hypothèse que vous pouvez changer. Noir = calculé par formule.</t>
  </si>
  <si>
    <t xml:space="preserve">Indice de rythme &lt; 0,85 = date en retard sur la médiane de la tournée au même stade de commercialisation.</t>
  </si>
  <si>
    <t xml:space="preserve">Rythme de vente par date</t>
  </si>
  <si>
    <t xml:space="preserve">Indice = remplissage réel ÷ remplissage médian de la tournée au même nombre de jours en vente.</t>
  </si>
  <si>
    <t xml:space="preserve">Ville</t>
  </si>
  <si>
    <t xml:space="preserve">Salle</t>
  </si>
  <si>
    <t xml:space="preserve">Jauge</t>
  </si>
  <si>
    <t xml:space="preserve">Billets vendus</t>
  </si>
  <si>
    <t xml:space="preserve">Remplissage</t>
  </si>
  <si>
    <t xml:space="preserve">Indice de rythme</t>
  </si>
  <si>
    <t xml:space="preserve">Jours avant concert</t>
  </si>
  <si>
    <t xml:space="preserve">Statut</t>
  </si>
  <si>
    <t xml:space="preserve">Toulouse</t>
  </si>
  <si>
    <t xml:space="preserve">Le Bikini</t>
  </si>
  <si>
    <t xml:space="preserve">Lille</t>
  </si>
  <si>
    <t xml:space="preserve">L'Aéronef</t>
  </si>
  <si>
    <t xml:space="preserve">Montpellier</t>
  </si>
  <si>
    <t xml:space="preserve">Le Rockstore</t>
  </si>
  <si>
    <t xml:space="preserve">Bordeaux</t>
  </si>
  <si>
    <t xml:space="preserve">Rock School Barbey</t>
  </si>
  <si>
    <t xml:space="preserve">Strasbourg</t>
  </si>
  <si>
    <t xml:space="preserve">La Laiterie</t>
  </si>
  <si>
    <t xml:space="preserve">Nantes</t>
  </si>
  <si>
    <t xml:space="preserve">Stereolux</t>
  </si>
  <si>
    <t xml:space="preserve">Paris</t>
  </si>
  <si>
    <t xml:space="preserve">La Cigale</t>
  </si>
  <si>
    <t xml:space="preserve">Lyon</t>
  </si>
  <si>
    <t xml:space="preserve">Le Transbordeur</t>
  </si>
  <si>
    <t xml:space="preserve">Rennes</t>
  </si>
  <si>
    <t xml:space="preserve">L'Antipode</t>
  </si>
  <si>
    <t xml:space="preserve">Le Trianon</t>
  </si>
  <si>
    <t xml:space="preserve">Bruxelles</t>
  </si>
  <si>
    <t xml:space="preserve">Botanique</t>
  </si>
  <si>
    <t xml:space="preserve">Marseille</t>
  </si>
  <si>
    <t xml:space="preserve">Le Molotov</t>
  </si>
  <si>
    <t xml:space="preserve">Total tournée</t>
  </si>
  <si>
    <t xml:space="preserve">Seuil d'alerte sur l'indice</t>
  </si>
  <si>
    <t xml:space="preserve">Billets manquants sur les dates en retard, pour revenir à la médiane</t>
  </si>
  <si>
    <t xml:space="preserve">Hypothèse : la médiane de la tournée sert de référence faute d'historique 2024 date par date.</t>
  </si>
  <si>
    <t xml:space="preserve">Mix de distribution et captation de la donnée</t>
  </si>
  <si>
    <t xml:space="preserve">Les revendeurs restituent le chiffre d'affaires, pas l'adresse e-mail du fan.</t>
  </si>
  <si>
    <t xml:space="preserve">Canal</t>
  </si>
  <si>
    <t xml:space="preserve">Billets</t>
  </si>
  <si>
    <t xml:space="preserve">Part</t>
  </si>
  <si>
    <t xml:space="preserve">CA billetterie (€)</t>
  </si>
  <si>
    <t xml:space="preserve">Frais payés par le fan (€)</t>
  </si>
  <si>
    <t xml:space="preserve">Adresse e-mail restituée</t>
  </si>
  <si>
    <t xml:space="preserve">Fnac Spectacles</t>
  </si>
  <si>
    <t xml:space="preserve">Non</t>
  </si>
  <si>
    <t xml:space="preserve">Site officiel</t>
  </si>
  <si>
    <t xml:space="preserve">Oui</t>
  </si>
  <si>
    <t xml:space="preserve">Ticketmaster</t>
  </si>
  <si>
    <t xml:space="preserve">Dice</t>
  </si>
  <si>
    <t xml:space="preserve">Shotgun</t>
  </si>
  <si>
    <t xml:space="preserve">Total</t>
  </si>
  <si>
    <t xml:space="preserve">Acheteurs uniques de la tournée</t>
  </si>
  <si>
    <t xml:space="preserve">Dont joignables (e-mail détenu en propre + opt-in)</t>
  </si>
  <si>
    <t xml:space="preserve">Part joignable</t>
  </si>
  <si>
    <t xml:space="preserve">Acheteurs hors de portée</t>
  </si>
  <si>
    <t xml:space="preserve">Segmentation RFM des acheteurs</t>
  </si>
  <si>
    <t xml:space="preserve">Récence, fréquence et montant calculés sur l'historique complet, tournée 2024 incluse.</t>
  </si>
  <si>
    <t xml:space="preserve">Segment</t>
  </si>
  <si>
    <t xml:space="preserve">Acheteurs</t>
  </si>
  <si>
    <t xml:space="preserve">Récence médiane (j)</t>
  </si>
  <si>
    <t xml:space="preserve">Commandes / acheteur</t>
  </si>
  <si>
    <t xml:space="preserve">Dépense moyenne (€)</t>
  </si>
  <si>
    <t xml:space="preserve">Cible prioritaire</t>
  </si>
  <si>
    <t xml:space="preserve">Multi-dates</t>
  </si>
  <si>
    <t xml:space="preserve">Oui — parrainage</t>
  </si>
  <si>
    <t xml:space="preserve">Noyau dur</t>
  </si>
  <si>
    <t xml:space="preserve">Oui — prévente</t>
  </si>
  <si>
    <t xml:space="preserve">Gros paniers</t>
  </si>
  <si>
    <t xml:space="preserve">Non — déjà convertis</t>
  </si>
  <si>
    <t xml:space="preserve">À réactiver</t>
  </si>
  <si>
    <t xml:space="preserve">Oui — campagne C</t>
  </si>
  <si>
    <t xml:space="preserve">Nouveaux acheteurs</t>
  </si>
  <si>
    <t xml:space="preserve">Non — nurturing</t>
  </si>
  <si>
    <t xml:space="preserve">Règles de segmentation</t>
  </si>
  <si>
    <t xml:space="preserve">Noyau dur : présent sur la tournée 2024 ET sur ORBITE.</t>
  </si>
  <si>
    <t xml:space="preserve">Multi-dates : au moins deux villes différentes sur ORBITE.</t>
  </si>
  <si>
    <t xml:space="preserve">Gros paniers : dépense dans le quartile supérieur, une seule tournée.</t>
  </si>
  <si>
    <t xml:space="preserve">Nouveaux acheteurs : première commande sur ORBITE.</t>
  </si>
  <si>
    <t xml:space="preserve">À réactiver : venu en 2024, aucune commande depuis.</t>
  </si>
  <si>
    <t xml:space="preserve">Plan de campagne — prévision</t>
  </si>
  <si>
    <t xml:space="preserve">Cellules bleues = hypothèses. Changez-les, la prévision se recalcule.</t>
  </si>
  <si>
    <t xml:space="preserve">Campagne</t>
  </si>
  <si>
    <t xml:space="preserve">Cible adressable</t>
  </si>
  <si>
    <t xml:space="preserve">Taux de clic</t>
  </si>
  <si>
    <t xml:space="preserve">Clic → achat</t>
  </si>
  <si>
    <t xml:space="preserve">Acheteurs attendus</t>
  </si>
  <si>
    <t xml:space="preserve">Billets / commande</t>
  </si>
  <si>
    <t xml:space="preserve">Billets attendus</t>
  </si>
  <si>
    <t xml:space="preserve">Panier moyen (€)</t>
  </si>
  <si>
    <t xml:space="preserve">CA attendu (€)</t>
  </si>
  <si>
    <t xml:space="preserve">A · Rattrapage géolocalisé (3 dates)</t>
  </si>
  <si>
    <t xml:space="preserve">B · Réactivation Premier Cercle</t>
  </si>
  <si>
    <t xml:space="preserve">C · Prévente Noyau dur (dates en retard)</t>
  </si>
  <si>
    <t xml:space="preserve">Écart à combler sur les dates en retard (billets)</t>
  </si>
  <si>
    <t xml:space="preserve">Part de l'écart couverte par le CRM</t>
  </si>
  <si>
    <t xml:space="preserve">Lecture : le CRM seul ne peut pas combler l'écart. La base joignable est trop petite —</t>
  </si>
  <si>
    <t xml:space="preserve">c'est le constat central de l'étude, pas un échec de la campagne. Le levier structurel est</t>
  </si>
  <si>
    <t xml:space="preserve">la captation d'e-mails au moment de la vente, traitée en campagne D (voir la page du projet).</t>
  </si>
  <si>
    <t xml:space="preserve">Hypothèses de taux : ordres de grandeur de marché pour une audience chaude et ciblée.</t>
  </si>
  <si>
    <t xml:space="preserve">À remplacer par les taux réels de l'outil d'envoi dès la première campagne exécutée.</t>
  </si>
  <si>
    <t xml:space="preserve">Chaque campagne prévoit un groupe témoin de 10 % non sollicité : sans témoin, on mesure</t>
  </si>
  <si>
    <t xml:space="preserve">la saisonnalité, pas l'effet de la campagne.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</si>
</sst>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#,##0"/>
    <numFmt numFmtId="168" formatCode="#,##0.0"/>
    <numFmt numFmtId="169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4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A7A7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1414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3" t="s">
        <v>13</v>
      </c>
    </row>
    <row r="4" customFormat="false" ht="27.75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</row>
    <row r="5" customFormat="false" ht="15" hidden="false" customHeight="false" outlineLevel="0" collapsed="false">
      <c r="A5" s="6" t="s">
        <v>22</v>
      </c>
      <c r="B5" s="6" t="s">
        <v>23</v>
      </c>
      <c r="C5" s="6" t="n">
        <v>1500</v>
      </c>
      <c r="D5" s="6" t="n">
        <v>866</v>
      </c>
      <c r="E5" s="7" t="n">
        <f aca="false">D5/C5</f>
        <v>0.577333333333333</v>
      </c>
      <c r="F5" s="8" t="n">
        <v>0.68</v>
      </c>
      <c r="G5" s="6" t="n">
        <v>116</v>
      </c>
      <c r="H5" s="6" t="str">
        <f aca="false">IF(F5&lt;$B$19,"En retard",IF(F5&gt;1.1,"En avance","Conforme"))</f>
        <v>En retard</v>
      </c>
    </row>
    <row r="6" customFormat="false" ht="15" hidden="false" customHeight="false" outlineLevel="0" collapsed="false">
      <c r="A6" s="6" t="s">
        <v>24</v>
      </c>
      <c r="B6" s="6" t="s">
        <v>25</v>
      </c>
      <c r="C6" s="6" t="n">
        <v>1200</v>
      </c>
      <c r="D6" s="6" t="n">
        <v>625</v>
      </c>
      <c r="E6" s="7" t="n">
        <f aca="false">D6/C6</f>
        <v>0.520833333333333</v>
      </c>
      <c r="F6" s="8" t="n">
        <v>0.77</v>
      </c>
      <c r="G6" s="6" t="n">
        <v>129</v>
      </c>
      <c r="H6" s="6" t="str">
        <f aca="false">IF(F6&lt;$B$19,"En retard",IF(F6&gt;1.1,"En avance","Conforme"))</f>
        <v>En retard</v>
      </c>
    </row>
    <row r="7" customFormat="false" ht="15" hidden="false" customHeight="false" outlineLevel="0" collapsed="false">
      <c r="A7" s="6" t="s">
        <v>26</v>
      </c>
      <c r="B7" s="6" t="s">
        <v>27</v>
      </c>
      <c r="C7" s="6" t="n">
        <v>700</v>
      </c>
      <c r="D7" s="6" t="n">
        <v>340</v>
      </c>
      <c r="E7" s="7" t="n">
        <f aca="false">D7/C7</f>
        <v>0.485714285714286</v>
      </c>
      <c r="F7" s="8" t="n">
        <v>0.8</v>
      </c>
      <c r="G7" s="6" t="n">
        <v>172</v>
      </c>
      <c r="H7" s="6" t="str">
        <f aca="false">IF(F7&lt;$B$19,"En retard",IF(F7&gt;1.1,"En avance","Conforme"))</f>
        <v>En retard</v>
      </c>
    </row>
    <row r="8" customFormat="false" ht="15" hidden="false" customHeight="false" outlineLevel="0" collapsed="false">
      <c r="A8" s="6" t="s">
        <v>28</v>
      </c>
      <c r="B8" s="6" t="s">
        <v>29</v>
      </c>
      <c r="C8" s="6" t="n">
        <v>600</v>
      </c>
      <c r="D8" s="6" t="n">
        <v>445</v>
      </c>
      <c r="E8" s="7" t="n">
        <f aca="false">D8/C8</f>
        <v>0.741666666666667</v>
      </c>
      <c r="F8" s="8" t="n">
        <v>0.87</v>
      </c>
      <c r="G8" s="6" t="n">
        <v>115</v>
      </c>
      <c r="H8" s="6" t="str">
        <f aca="false">IF(F8&lt;$B$19,"En retard",IF(F8&gt;1.1,"En avance","Conforme"))</f>
        <v>Conforme</v>
      </c>
    </row>
    <row r="9" customFormat="false" ht="15" hidden="false" customHeight="false" outlineLevel="0" collapsed="false">
      <c r="A9" s="6" t="s">
        <v>30</v>
      </c>
      <c r="B9" s="6" t="s">
        <v>31</v>
      </c>
      <c r="C9" s="6" t="n">
        <v>950</v>
      </c>
      <c r="D9" s="6" t="n">
        <v>508</v>
      </c>
      <c r="E9" s="7" t="n">
        <f aca="false">D9/C9</f>
        <v>0.534736842105263</v>
      </c>
      <c r="F9" s="8" t="n">
        <v>0.88</v>
      </c>
      <c r="G9" s="6" t="n">
        <v>165</v>
      </c>
      <c r="H9" s="6" t="str">
        <f aca="false">IF(F9&lt;$B$19,"En retard",IF(F9&gt;1.1,"En avance","Conforme"))</f>
        <v>Conforme</v>
      </c>
    </row>
    <row r="10" customFormat="false" ht="15" hidden="false" customHeight="false" outlineLevel="0" collapsed="false">
      <c r="A10" s="6" t="s">
        <v>32</v>
      </c>
      <c r="B10" s="6" t="s">
        <v>33</v>
      </c>
      <c r="C10" s="6" t="n">
        <v>800</v>
      </c>
      <c r="D10" s="6" t="n">
        <v>510</v>
      </c>
      <c r="E10" s="7" t="n">
        <f aca="false">D10/C10</f>
        <v>0.6375</v>
      </c>
      <c r="F10" s="8" t="n">
        <v>0.94</v>
      </c>
      <c r="G10" s="6" t="n">
        <v>122</v>
      </c>
      <c r="H10" s="6" t="str">
        <f aca="false">IF(F10&lt;$B$19,"En retard",IF(F10&gt;1.1,"En avance","Conforme"))</f>
        <v>Conforme</v>
      </c>
    </row>
    <row r="11" customFormat="false" ht="15" hidden="false" customHeight="false" outlineLevel="0" collapsed="false">
      <c r="A11" s="6" t="s">
        <v>34</v>
      </c>
      <c r="B11" s="6" t="s">
        <v>35</v>
      </c>
      <c r="C11" s="6" t="n">
        <v>1389</v>
      </c>
      <c r="D11" s="6" t="n">
        <v>1292</v>
      </c>
      <c r="E11" s="7" t="n">
        <f aca="false">D11/C11</f>
        <v>0.93016558675306</v>
      </c>
      <c r="F11" s="8" t="n">
        <v>0.98</v>
      </c>
      <c r="G11" s="6" t="n">
        <v>186</v>
      </c>
      <c r="H11" s="6" t="str">
        <f aca="false">IF(F11&lt;$B$19,"En retard",IF(F11&gt;1.1,"En avance","Conforme"))</f>
        <v>Conforme</v>
      </c>
    </row>
    <row r="12" customFormat="false" ht="15" hidden="false" customHeight="false" outlineLevel="0" collapsed="false">
      <c r="A12" s="6" t="s">
        <v>36</v>
      </c>
      <c r="B12" s="6" t="s">
        <v>37</v>
      </c>
      <c r="C12" s="6" t="n">
        <v>1800</v>
      </c>
      <c r="D12" s="6" t="n">
        <v>1504</v>
      </c>
      <c r="E12" s="7" t="n">
        <f aca="false">D12/C12</f>
        <v>0.835555555555556</v>
      </c>
      <c r="F12" s="8" t="n">
        <v>0.98</v>
      </c>
      <c r="G12" s="6" t="n">
        <v>109</v>
      </c>
      <c r="H12" s="6" t="str">
        <f aca="false">IF(F12&lt;$B$19,"En retard",IF(F12&gt;1.1,"En avance","Conforme"))</f>
        <v>Conforme</v>
      </c>
    </row>
    <row r="13" customFormat="false" ht="15" hidden="false" customHeight="false" outlineLevel="0" collapsed="false">
      <c r="A13" s="6" t="s">
        <v>38</v>
      </c>
      <c r="B13" s="6" t="s">
        <v>39</v>
      </c>
      <c r="C13" s="6" t="n">
        <v>500</v>
      </c>
      <c r="D13" s="6" t="n">
        <v>333</v>
      </c>
      <c r="E13" s="7" t="n">
        <f aca="false">D13/C13</f>
        <v>0.666</v>
      </c>
      <c r="F13" s="8" t="n">
        <v>0.99</v>
      </c>
      <c r="G13" s="6" t="n">
        <v>123</v>
      </c>
      <c r="H13" s="6" t="str">
        <f aca="false">IF(F13&lt;$B$19,"En retard",IF(F13&gt;1.1,"En avance","Conforme"))</f>
        <v>Conforme</v>
      </c>
    </row>
    <row r="14" customFormat="false" ht="15" hidden="false" customHeight="false" outlineLevel="0" collapsed="false">
      <c r="A14" s="6" t="s">
        <v>34</v>
      </c>
      <c r="B14" s="6" t="s">
        <v>40</v>
      </c>
      <c r="C14" s="6" t="n">
        <v>1100</v>
      </c>
      <c r="D14" s="6" t="n">
        <v>1068</v>
      </c>
      <c r="E14" s="7" t="n">
        <f aca="false">D14/C14</f>
        <v>0.970909090909091</v>
      </c>
      <c r="F14" s="8" t="n">
        <v>1.02</v>
      </c>
      <c r="G14" s="6" t="n">
        <v>102</v>
      </c>
      <c r="H14" s="6" t="str">
        <f aca="false">IF(F14&lt;$B$19,"En retard",IF(F14&gt;1.1,"En avance","Conforme"))</f>
        <v>Conforme</v>
      </c>
    </row>
    <row r="15" customFormat="false" ht="15" hidden="false" customHeight="false" outlineLevel="0" collapsed="false">
      <c r="A15" s="6" t="s">
        <v>41</v>
      </c>
      <c r="B15" s="6" t="s">
        <v>42</v>
      </c>
      <c r="C15" s="6" t="n">
        <v>650</v>
      </c>
      <c r="D15" s="6" t="n">
        <v>473</v>
      </c>
      <c r="E15" s="7" t="n">
        <f aca="false">D15/C15</f>
        <v>0.727692307692308</v>
      </c>
      <c r="F15" s="8" t="n">
        <v>1.21</v>
      </c>
      <c r="G15" s="6" t="n">
        <v>179</v>
      </c>
      <c r="H15" s="6" t="str">
        <f aca="false">IF(F15&lt;$B$19,"En retard",IF(F15&gt;1.1,"En avance","Conforme"))</f>
        <v>En avance</v>
      </c>
    </row>
    <row r="16" customFormat="false" ht="15" hidden="false" customHeight="false" outlineLevel="0" collapsed="false">
      <c r="A16" s="6" t="s">
        <v>43</v>
      </c>
      <c r="B16" s="6" t="s">
        <v>44</v>
      </c>
      <c r="C16" s="6" t="n">
        <v>450</v>
      </c>
      <c r="D16" s="6" t="n">
        <v>340</v>
      </c>
      <c r="E16" s="7" t="n">
        <f aca="false">D16/C16</f>
        <v>0.755555555555556</v>
      </c>
      <c r="F16" s="8" t="n">
        <v>1.24</v>
      </c>
      <c r="G16" s="6" t="n">
        <v>171</v>
      </c>
      <c r="H16" s="6" t="str">
        <f aca="false">IF(F16&lt;$B$19,"En retard",IF(F16&gt;1.1,"En avance","Conforme"))</f>
        <v>En avance</v>
      </c>
    </row>
    <row r="17" customFormat="false" ht="15" hidden="false" customHeight="false" outlineLevel="0" collapsed="false">
      <c r="A17" s="4" t="s">
        <v>45</v>
      </c>
      <c r="C17" s="4" t="n">
        <f aca="false">SUM(C5:C16)</f>
        <v>11639</v>
      </c>
      <c r="D17" s="4" t="n">
        <f aca="false">SUM(D5:D16)</f>
        <v>8304</v>
      </c>
      <c r="E17" s="9" t="n">
        <f aca="false">D17/C17</f>
        <v>0.713463355958416</v>
      </c>
    </row>
    <row r="19" customFormat="false" ht="15" hidden="false" customHeight="false" outlineLevel="0" collapsed="false">
      <c r="A19" s="2" t="s">
        <v>46</v>
      </c>
      <c r="B19" s="10" t="n">
        <v>0.85</v>
      </c>
    </row>
    <row r="20" customFormat="false" ht="15" hidden="false" customHeight="false" outlineLevel="0" collapsed="false">
      <c r="A20" s="2" t="s">
        <v>47</v>
      </c>
      <c r="B20" s="11" t="n">
        <v>683</v>
      </c>
    </row>
    <row r="22" customFormat="false" ht="15" hidden="false" customHeight="false" outlineLevel="0" collapsed="false">
      <c r="A22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2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3" t="s">
        <v>50</v>
      </c>
    </row>
    <row r="4" customFormat="false" ht="27.75" hidden="false" customHeight="true" outlineLevel="0" collapsed="false">
      <c r="A4" s="5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</row>
    <row r="5" customFormat="false" ht="15" hidden="false" customHeight="false" outlineLevel="0" collapsed="false">
      <c r="A5" s="6" t="s">
        <v>57</v>
      </c>
      <c r="B5" s="6" t="n">
        <v>2202</v>
      </c>
      <c r="C5" s="7" t="n">
        <f aca="false">B5/$B$10</f>
        <v>0.265173410404624</v>
      </c>
      <c r="D5" s="12" t="n">
        <v>64498</v>
      </c>
      <c r="E5" s="12" t="n">
        <v>5847</v>
      </c>
      <c r="F5" s="6" t="s">
        <v>58</v>
      </c>
    </row>
    <row r="6" customFormat="false" ht="15" hidden="false" customHeight="false" outlineLevel="0" collapsed="false">
      <c r="A6" s="6" t="s">
        <v>59</v>
      </c>
      <c r="B6" s="6" t="n">
        <v>1943</v>
      </c>
      <c r="C6" s="7" t="n">
        <f aca="false">B6/$B$10</f>
        <v>0.233983622350674</v>
      </c>
      <c r="D6" s="12" t="n">
        <v>59452</v>
      </c>
      <c r="E6" s="12" t="n">
        <v>0</v>
      </c>
      <c r="F6" s="6" t="s">
        <v>60</v>
      </c>
    </row>
    <row r="7" customFormat="false" ht="15" hidden="false" customHeight="false" outlineLevel="0" collapsed="false">
      <c r="A7" s="6" t="s">
        <v>61</v>
      </c>
      <c r="B7" s="6" t="n">
        <v>1598</v>
      </c>
      <c r="C7" s="7" t="n">
        <f aca="false">B7/$B$10</f>
        <v>0.192437379576108</v>
      </c>
      <c r="D7" s="12" t="n">
        <v>47330</v>
      </c>
      <c r="E7" s="12" t="n">
        <v>4213</v>
      </c>
      <c r="F7" s="6" t="s">
        <v>58</v>
      </c>
    </row>
    <row r="8" customFormat="false" ht="15" hidden="false" customHeight="false" outlineLevel="0" collapsed="false">
      <c r="A8" s="6" t="s">
        <v>62</v>
      </c>
      <c r="B8" s="6" t="n">
        <v>1481</v>
      </c>
      <c r="C8" s="7" t="n">
        <f aca="false">B8/$B$10</f>
        <v>0.178347784200385</v>
      </c>
      <c r="D8" s="12" t="n">
        <v>44984</v>
      </c>
      <c r="E8" s="12" t="n">
        <v>3933</v>
      </c>
      <c r="F8" s="6" t="s">
        <v>58</v>
      </c>
    </row>
    <row r="9" customFormat="false" ht="15" hidden="false" customHeight="false" outlineLevel="0" collapsed="false">
      <c r="A9" s="6" t="s">
        <v>63</v>
      </c>
      <c r="B9" s="6" t="n">
        <v>1080</v>
      </c>
      <c r="C9" s="7" t="n">
        <f aca="false">B9/$B$10</f>
        <v>0.130057803468208</v>
      </c>
      <c r="D9" s="12" t="n">
        <v>33023</v>
      </c>
      <c r="E9" s="12" t="n">
        <v>2877</v>
      </c>
      <c r="F9" s="6" t="s">
        <v>58</v>
      </c>
    </row>
    <row r="10" customFormat="false" ht="15" hidden="false" customHeight="false" outlineLevel="0" collapsed="false">
      <c r="A10" s="4" t="s">
        <v>64</v>
      </c>
      <c r="B10" s="4" t="n">
        <f aca="false">SUM(B5:B9)</f>
        <v>8304</v>
      </c>
      <c r="D10" s="13" t="n">
        <f aca="false">SUM(D5:D9)</f>
        <v>249287</v>
      </c>
      <c r="E10" s="13" t="n">
        <f aca="false">SUM(E5:E9)</f>
        <v>16870</v>
      </c>
    </row>
    <row r="12" customFormat="false" ht="15" hidden="false" customHeight="false" outlineLevel="0" collapsed="false">
      <c r="A12" s="2" t="s">
        <v>65</v>
      </c>
      <c r="B12" s="2" t="n">
        <v>3927</v>
      </c>
    </row>
    <row r="13" customFormat="false" ht="15" hidden="false" customHeight="false" outlineLevel="0" collapsed="false">
      <c r="A13" s="2" t="s">
        <v>66</v>
      </c>
      <c r="B13" s="2" t="n">
        <v>761</v>
      </c>
    </row>
    <row r="14" customFormat="false" ht="15" hidden="false" customHeight="false" outlineLevel="0" collapsed="false">
      <c r="A14" s="4" t="s">
        <v>67</v>
      </c>
      <c r="B14" s="9" t="n">
        <f aca="false">B13/B12</f>
        <v>0.193786605551311</v>
      </c>
    </row>
    <row r="15" customFormat="false" ht="15" hidden="false" customHeight="false" outlineLevel="0" collapsed="false">
      <c r="A15" s="2" t="s">
        <v>68</v>
      </c>
      <c r="B15" s="2" t="n">
        <f aca="false">B12-B13</f>
        <v>3166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20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3" t="s">
        <v>70</v>
      </c>
    </row>
    <row r="4" customFormat="false" ht="27.75" hidden="false" customHeight="true" outlineLevel="0" collapsed="false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F4" s="5" t="s">
        <v>67</v>
      </c>
      <c r="G4" s="5" t="s">
        <v>76</v>
      </c>
    </row>
    <row r="5" customFormat="false" ht="15" hidden="false" customHeight="false" outlineLevel="0" collapsed="false">
      <c r="A5" s="6" t="s">
        <v>77</v>
      </c>
      <c r="B5" s="6" t="n">
        <v>346</v>
      </c>
      <c r="C5" s="6" t="n">
        <v>29</v>
      </c>
      <c r="D5" s="8" t="n">
        <v>2.17</v>
      </c>
      <c r="E5" s="14" t="n">
        <v>125.1</v>
      </c>
      <c r="F5" s="7" t="n">
        <v>0.341</v>
      </c>
      <c r="G5" s="6" t="s">
        <v>78</v>
      </c>
    </row>
    <row r="6" customFormat="false" ht="15" hidden="false" customHeight="false" outlineLevel="0" collapsed="false">
      <c r="A6" s="6" t="s">
        <v>79</v>
      </c>
      <c r="B6" s="6" t="n">
        <v>180</v>
      </c>
      <c r="C6" s="6" t="n">
        <v>48</v>
      </c>
      <c r="D6" s="8" t="n">
        <v>2.41</v>
      </c>
      <c r="E6" s="14" t="n">
        <v>116</v>
      </c>
      <c r="F6" s="7" t="n">
        <v>0.656</v>
      </c>
      <c r="G6" s="6" t="s">
        <v>80</v>
      </c>
    </row>
    <row r="7" customFormat="false" ht="15" hidden="false" customHeight="false" outlineLevel="0" collapsed="false">
      <c r="A7" s="6" t="s">
        <v>81</v>
      </c>
      <c r="B7" s="6" t="n">
        <v>520</v>
      </c>
      <c r="C7" s="6" t="n">
        <v>41</v>
      </c>
      <c r="D7" s="8" t="n">
        <v>1.15</v>
      </c>
      <c r="E7" s="14" t="n">
        <v>99.4</v>
      </c>
      <c r="F7" s="7" t="n">
        <v>0.192</v>
      </c>
      <c r="G7" s="6" t="s">
        <v>82</v>
      </c>
    </row>
    <row r="8" customFormat="false" ht="15" hidden="false" customHeight="false" outlineLevel="0" collapsed="false">
      <c r="A8" s="6" t="s">
        <v>83</v>
      </c>
      <c r="B8" s="6" t="n">
        <v>528</v>
      </c>
      <c r="C8" s="6" t="n">
        <v>692</v>
      </c>
      <c r="D8" s="8" t="n">
        <v>1.29</v>
      </c>
      <c r="E8" s="14" t="n">
        <v>54.3</v>
      </c>
      <c r="F8" s="7" t="n">
        <v>0.642</v>
      </c>
      <c r="G8" s="6" t="s">
        <v>84</v>
      </c>
    </row>
    <row r="9" customFormat="false" ht="15" hidden="false" customHeight="false" outlineLevel="0" collapsed="false">
      <c r="A9" s="6" t="s">
        <v>85</v>
      </c>
      <c r="B9" s="6" t="n">
        <v>2881</v>
      </c>
      <c r="C9" s="6" t="n">
        <v>40</v>
      </c>
      <c r="D9" s="8" t="n">
        <v>1</v>
      </c>
      <c r="E9" s="14" t="n">
        <v>49.5</v>
      </c>
      <c r="F9" s="7" t="n">
        <v>0.148</v>
      </c>
      <c r="G9" s="6" t="s">
        <v>86</v>
      </c>
    </row>
    <row r="10" customFormat="false" ht="15" hidden="false" customHeight="false" outlineLevel="0" collapsed="false">
      <c r="A10" s="4" t="s">
        <v>64</v>
      </c>
      <c r="B10" s="4" t="n">
        <f aca="false">SUM(B5:B9)</f>
        <v>4455</v>
      </c>
    </row>
    <row r="12" customFormat="false" ht="15" hidden="false" customHeight="false" outlineLevel="0" collapsed="false">
      <c r="A12" s="4" t="s">
        <v>87</v>
      </c>
    </row>
    <row r="13" customFormat="false" ht="15" hidden="false" customHeight="false" outlineLevel="0" collapsed="false">
      <c r="A13" s="2" t="s">
        <v>88</v>
      </c>
    </row>
    <row r="14" customFormat="false" ht="15" hidden="false" customHeight="false" outlineLevel="0" collapsed="false">
      <c r="A14" s="2" t="s">
        <v>89</v>
      </c>
    </row>
    <row r="15" customFormat="false" ht="15" hidden="false" customHeight="false" outlineLevel="0" collapsed="false">
      <c r="A15" s="2" t="s">
        <v>90</v>
      </c>
    </row>
    <row r="16" customFormat="false" ht="15" hidden="false" customHeight="false" outlineLevel="0" collapsed="false">
      <c r="A16" s="2" t="s">
        <v>91</v>
      </c>
    </row>
    <row r="17" customFormat="false" ht="15" hidden="false" customHeight="false" outlineLevel="0" collapsed="false">
      <c r="A17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6"/>
    <col collapsed="false" customWidth="true" hidden="false" outlineLevel="0" max="9" min="7" style="0" width="15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3" t="s">
        <v>94</v>
      </c>
    </row>
    <row r="4" customFormat="false" ht="27.75" hidden="false" customHeight="true" outlineLevel="0" collapsed="false">
      <c r="A4" s="5" t="s">
        <v>95</v>
      </c>
      <c r="B4" s="5" t="s">
        <v>96</v>
      </c>
      <c r="C4" s="5" t="s">
        <v>97</v>
      </c>
      <c r="D4" s="5" t="s">
        <v>98</v>
      </c>
      <c r="E4" s="5" t="s">
        <v>99</v>
      </c>
      <c r="F4" s="5" t="s">
        <v>100</v>
      </c>
      <c r="G4" s="5" t="s">
        <v>101</v>
      </c>
      <c r="H4" s="5" t="s">
        <v>102</v>
      </c>
      <c r="I4" s="5" t="s">
        <v>103</v>
      </c>
    </row>
    <row r="5" customFormat="false" ht="15" hidden="false" customHeight="false" outlineLevel="0" collapsed="false">
      <c r="A5" s="6" t="s">
        <v>104</v>
      </c>
      <c r="B5" s="15" t="n">
        <v>462</v>
      </c>
      <c r="C5" s="16" t="n">
        <v>0.22</v>
      </c>
      <c r="D5" s="16" t="n">
        <v>0.09</v>
      </c>
      <c r="E5" s="12" t="n">
        <f aca="false">B5*C5*D5</f>
        <v>9.1476</v>
      </c>
      <c r="F5" s="17" t="n">
        <v>1.87</v>
      </c>
      <c r="G5" s="12" t="n">
        <f aca="false">E5*F5</f>
        <v>17.106012</v>
      </c>
      <c r="H5" s="18" t="n">
        <v>56.15</v>
      </c>
      <c r="I5" s="12" t="n">
        <f aca="false">E5*H5</f>
        <v>513.63774</v>
      </c>
    </row>
    <row r="6" customFormat="false" ht="15" hidden="false" customHeight="false" outlineLevel="0" collapsed="false">
      <c r="A6" s="6" t="s">
        <v>105</v>
      </c>
      <c r="B6" s="15" t="n">
        <v>339</v>
      </c>
      <c r="C6" s="16" t="n">
        <v>0.28</v>
      </c>
      <c r="D6" s="16" t="n">
        <v>0.11</v>
      </c>
      <c r="E6" s="12" t="n">
        <f aca="false">B6*C6*D6</f>
        <v>10.4412</v>
      </c>
      <c r="F6" s="17" t="n">
        <v>1.87</v>
      </c>
      <c r="G6" s="12" t="n">
        <f aca="false">E6*F6</f>
        <v>19.525044</v>
      </c>
      <c r="H6" s="18" t="n">
        <v>56.15</v>
      </c>
      <c r="I6" s="12" t="n">
        <f aca="false">E6*H6</f>
        <v>586.27338</v>
      </c>
    </row>
    <row r="7" customFormat="false" ht="15" hidden="false" customHeight="false" outlineLevel="0" collapsed="false">
      <c r="A7" s="6" t="s">
        <v>106</v>
      </c>
      <c r="B7" s="15" t="n">
        <v>118</v>
      </c>
      <c r="C7" s="16" t="n">
        <v>0.41</v>
      </c>
      <c r="D7" s="16" t="n">
        <v>0.18</v>
      </c>
      <c r="E7" s="12" t="n">
        <f aca="false">B7*C7*D7</f>
        <v>8.7084</v>
      </c>
      <c r="F7" s="17" t="n">
        <v>1.87</v>
      </c>
      <c r="G7" s="12" t="n">
        <f aca="false">E7*F7</f>
        <v>16.284708</v>
      </c>
      <c r="H7" s="18" t="n">
        <v>56.15</v>
      </c>
      <c r="I7" s="12" t="n">
        <f aca="false">E7*H7</f>
        <v>488.97666</v>
      </c>
    </row>
    <row r="8" customFormat="false" ht="15" hidden="false" customHeight="false" outlineLevel="0" collapsed="false">
      <c r="A8" s="4" t="s">
        <v>64</v>
      </c>
      <c r="E8" s="4" t="n">
        <f aca="false">SUM(E5:E7)</f>
        <v>28.2972</v>
      </c>
      <c r="G8" s="13" t="n">
        <f aca="false">SUM(G5:G7)</f>
        <v>52.915764</v>
      </c>
      <c r="I8" s="13" t="n">
        <f aca="false">SUM(I5:I7)</f>
        <v>1588.88778</v>
      </c>
    </row>
    <row r="10" customFormat="false" ht="15" hidden="false" customHeight="false" outlineLevel="0" collapsed="false">
      <c r="A10" s="2" t="s">
        <v>107</v>
      </c>
      <c r="B10" s="11" t="n">
        <v>683</v>
      </c>
    </row>
    <row r="11" customFormat="false" ht="15" hidden="false" customHeight="false" outlineLevel="0" collapsed="false">
      <c r="A11" s="4" t="s">
        <v>108</v>
      </c>
      <c r="B11" s="9" t="n">
        <f aca="false">G8/B10</f>
        <v>0.0774754963396779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109</v>
      </c>
    </row>
    <row r="15" customFormat="false" ht="15" hidden="false" customHeight="false" outlineLevel="0" collapsed="false">
      <c r="A15" s="3" t="s">
        <v>110</v>
      </c>
    </row>
    <row r="16" customFormat="false" ht="15" hidden="false" customHeight="false" outlineLevel="0" collapsed="false">
      <c r="A16" s="3" t="s">
        <v>111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112</v>
      </c>
    </row>
    <row r="19" customFormat="false" ht="15" hidden="false" customHeight="false" outlineLevel="0" collapsed="false">
      <c r="A19" s="3" t="s">
        <v>113</v>
      </c>
    </row>
    <row r="20" customFormat="false" ht="15" hidden="false" customHeight="false" outlineLevel="0" collapsed="false">
      <c r="A20" s="3" t="s">
        <v>114</v>
      </c>
    </row>
    <row r="21" customFormat="false" ht="15" hidden="false" customHeight="false" outlineLevel="0" collapsed="false">
      <c r="A21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2026-08-04T01:22:52Z</dcterms:created>
  <dc:creator>openpyxl</dc:creator>
  <dc:description/>
  <dc:language>en-US</dc:language>
  <cp:lastModifiedBy/>
  <dcterms:modified xsi:type="dcterms:W3CDTF">2026-08-04T01:22:52Z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